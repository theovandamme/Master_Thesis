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theo_naim_vandamme_vub_be/Documents/Master Thesis/"/>
    </mc:Choice>
  </mc:AlternateContent>
  <xr:revisionPtr revIDLastSave="163" documentId="8_{93588C54-8EB7-EE4D-95C0-B94AC4C250E0}" xr6:coauthVersionLast="47" xr6:coauthVersionMax="47" xr10:uidLastSave="{8B094BBF-BCC2-644E-9A37-11C8BE7C428B}"/>
  <bookViews>
    <workbookView xWindow="0" yWindow="740" windowWidth="29400" windowHeight="18380" xr2:uid="{7D608CB2-6AA1-334E-A71F-BF966E5AE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3" i="1"/>
  <c r="D24" i="1"/>
  <c r="D26" i="1"/>
  <c r="D27" i="1"/>
  <c r="D28" i="1"/>
  <c r="D29" i="1"/>
  <c r="D30" i="1"/>
  <c r="D31" i="1"/>
  <c r="D25" i="1"/>
  <c r="D21" i="1"/>
  <c r="D22" i="1"/>
  <c r="D20" i="1"/>
  <c r="D19" i="1"/>
  <c r="G7" i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H8" i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B4" i="1"/>
  <c r="B5" i="1" s="1"/>
  <c r="D11" i="1"/>
  <c r="D12" i="1"/>
  <c r="D14" i="1"/>
  <c r="D15" i="1"/>
  <c r="D16" i="1"/>
  <c r="D17" i="1"/>
  <c r="D10" i="1"/>
</calcChain>
</file>

<file path=xl/sharedStrings.xml><?xml version="1.0" encoding="utf-8"?>
<sst xmlns="http://schemas.openxmlformats.org/spreadsheetml/2006/main" count="42" uniqueCount="39">
  <si>
    <t>Task</t>
  </si>
  <si>
    <t>Start Date</t>
  </si>
  <si>
    <t>End Date</t>
  </si>
  <si>
    <t>Days</t>
  </si>
  <si>
    <t>Progress</t>
  </si>
  <si>
    <t>Project Name</t>
  </si>
  <si>
    <t>Project Start</t>
  </si>
  <si>
    <t>Current Date</t>
  </si>
  <si>
    <t>Weeks in progress</t>
  </si>
  <si>
    <t>Master Thesis</t>
  </si>
  <si>
    <t>Writing Thesis</t>
  </si>
  <si>
    <t>Introduction</t>
  </si>
  <si>
    <t xml:space="preserve">Litterature </t>
  </si>
  <si>
    <t>Methodology</t>
  </si>
  <si>
    <t>Results</t>
  </si>
  <si>
    <t>Discussion</t>
  </si>
  <si>
    <t>Conclussion</t>
  </si>
  <si>
    <t>Lay-out &amp; references</t>
  </si>
  <si>
    <t>Meetings &amp; Deadlines</t>
  </si>
  <si>
    <t>Submitting thesis</t>
  </si>
  <si>
    <t>Soft deadline</t>
  </si>
  <si>
    <t>First presentation</t>
  </si>
  <si>
    <t>Second presentation</t>
  </si>
  <si>
    <t>?</t>
  </si>
  <si>
    <t>Asses the utility of NDVI temporal signature for landslide detection</t>
  </si>
  <si>
    <t>Litterature review</t>
  </si>
  <si>
    <t>Data acquisition and preprocessing</t>
  </si>
  <si>
    <t>Decomposition of time-series</t>
  </si>
  <si>
    <t>Application of clustering techniques</t>
  </si>
  <si>
    <t>Preparation oral defense</t>
  </si>
  <si>
    <t>Determine how post-landslide recovery varies based on anthropogenic and natural drivers</t>
  </si>
  <si>
    <t>Selection of case studies</t>
  </si>
  <si>
    <t>NDVI time-series extraction</t>
  </si>
  <si>
    <t>Analyze correlations between recovery rates and drivers</t>
  </si>
  <si>
    <t>Compare recovery patterns across case studies.</t>
  </si>
  <si>
    <t>Test whether edge-zone analysis improves classification accuracy for ambiguous pixels</t>
  </si>
  <si>
    <t>Define zones (landslide, edge, non-landslide) using spatial buffers</t>
  </si>
  <si>
    <t>Analyze decomposition patterns of edge-zone pixels vs. pure landslide/non-landslide pixels.</t>
  </si>
  <si>
    <t>Evaluate impact of edge-zone analysis on reducing false positives in automated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</si>
</sst>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\W\k\ #"/>
    <numFmt numFmtId="166" formatCode="dd/mm;@"/>
  </numFmts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/>
      <diagonal/>
    </border>
    <border>
      <left/>
      <right/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887081514938816E-2"/>
      </bottom>
      <diagonal/>
    </border>
    <border>
      <left/>
      <right/>
      <top style="thin">
        <color theme="2" tint="-9.9917600024414813E-2"/>
      </top>
      <bottom style="thin">
        <color theme="2" tint="-9.9887081514938816E-2"/>
      </bottom>
      <diagonal/>
    </border>
    <border>
      <left style="thin">
        <color theme="2" tint="-9.9917600024414813E-2"/>
      </left>
      <right/>
      <top style="thin">
        <color theme="2" tint="-9.9887081514938816E-2"/>
      </top>
      <bottom style="thin">
        <color theme="2" tint="-9.9887081514938816E-2"/>
      </bottom>
      <diagonal/>
    </border>
    <border>
      <left/>
      <right/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theme="2" tint="-9.9917600024414813E-2"/>
      </left>
      <right/>
      <top style="thin">
        <color theme="2" tint="-9.9887081514938816E-2"/>
      </top>
      <bottom style="thin">
        <color theme="2" tint="-9.985656300546282E-2"/>
      </bottom>
      <diagonal/>
    </border>
    <border>
      <left/>
      <right/>
      <top style="thin">
        <color theme="2" tint="-9.985656300546282E-2"/>
      </top>
      <bottom style="thin">
        <color theme="2" tint="-9.985656300546282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/>
      <top style="thin">
        <color theme="2" tint="-9.985656300546282E-2"/>
      </top>
      <bottom style="thin">
        <color theme="2" tint="-9.982604449598681E-2"/>
      </bottom>
      <diagonal/>
    </border>
    <border>
      <left/>
      <right/>
      <top style="thin">
        <color theme="2" tint="-9.982604449598681E-2"/>
      </top>
      <bottom style="thin">
        <color theme="2" tint="-9.985656300546282E-2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0" fillId="3" borderId="0" xfId="0" applyFill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0" fontId="0" fillId="3" borderId="5" xfId="0" applyFill="1" applyBorder="1"/>
    <xf numFmtId="0" fontId="0" fillId="0" borderId="4" xfId="0" applyBorder="1" applyAlignment="1">
      <alignment horizontal="left" indent="1"/>
    </xf>
    <xf numFmtId="164" fontId="0" fillId="0" borderId="5" xfId="0" applyNumberFormat="1" applyBorder="1"/>
    <xf numFmtId="0" fontId="0" fillId="0" borderId="5" xfId="0" applyBorder="1"/>
    <xf numFmtId="164" fontId="0" fillId="3" borderId="5" xfId="0" applyNumberFormat="1" applyFill="1" applyBorder="1"/>
    <xf numFmtId="166" fontId="1" fillId="2" borderId="0" xfId="0" applyNumberFormat="1" applyFont="1" applyFill="1" applyAlignment="1">
      <alignment horizontal="center" vertical="center"/>
    </xf>
    <xf numFmtId="0" fontId="3" fillId="0" borderId="6" xfId="0" applyFont="1" applyBorder="1" applyAlignment="1">
      <alignment horizontal="left" indent="1"/>
    </xf>
    <xf numFmtId="0" fontId="3" fillId="0" borderId="8" xfId="0" applyFont="1" applyBorder="1" applyAlignment="1">
      <alignment horizontal="left" indent="1"/>
    </xf>
    <xf numFmtId="0" fontId="0" fillId="0" borderId="9" xfId="0" applyBorder="1"/>
    <xf numFmtId="0" fontId="3" fillId="0" borderId="10" xfId="0" applyFont="1" applyBorder="1" applyAlignment="1">
      <alignment horizontal="left" indent="1"/>
    </xf>
    <xf numFmtId="0" fontId="0" fillId="3" borderId="11" xfId="0" applyFill="1" applyBorder="1"/>
    <xf numFmtId="0" fontId="0" fillId="0" borderId="13" xfId="0" applyBorder="1"/>
    <xf numFmtId="0" fontId="0" fillId="3" borderId="14" xfId="0" applyFill="1" applyBorder="1"/>
    <xf numFmtId="0" fontId="0" fillId="3" borderId="15" xfId="0" applyFill="1" applyBorder="1"/>
    <xf numFmtId="0" fontId="0" fillId="0" borderId="2" xfId="0" applyBorder="1"/>
    <xf numFmtId="0" fontId="0" fillId="3" borderId="2" xfId="0" applyFill="1" applyBorder="1"/>
    <xf numFmtId="9" fontId="0" fillId="0" borderId="5" xfId="0" applyNumberFormat="1" applyBorder="1"/>
    <xf numFmtId="164" fontId="0" fillId="0" borderId="7" xfId="0" applyNumberFormat="1" applyBorder="1"/>
    <xf numFmtId="164" fontId="0" fillId="3" borderId="11" xfId="0" applyNumberFormat="1" applyFill="1" applyBorder="1"/>
    <xf numFmtId="164" fontId="0" fillId="0" borderId="13" xfId="0" applyNumberFormat="1" applyBorder="1"/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4" xfId="0" applyBorder="1" applyAlignment="1">
      <alignment horizontal="left" wrapText="1" indent="1"/>
    </xf>
    <xf numFmtId="164" fontId="0" fillId="0" borderId="5" xfId="0" applyNumberFormat="1" applyBorder="1" applyAlignment="1">
      <alignment wrapText="1"/>
    </xf>
    <xf numFmtId="0" fontId="0" fillId="0" borderId="5" xfId="0" applyBorder="1" applyAlignment="1">
      <alignment wrapText="1"/>
    </xf>
    <xf numFmtId="9" fontId="0" fillId="0" borderId="5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164" fontId="0" fillId="3" borderId="5" xfId="0" applyNumberForma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0" borderId="4" xfId="0" applyFont="1" applyBorder="1" applyAlignment="1">
      <alignment horizontal="left" wrapText="1" indent="1"/>
    </xf>
    <xf numFmtId="0" fontId="0" fillId="0" borderId="5" xfId="0" applyBorder="1" applyAlignment="1">
      <alignment horizontal="left" wrapText="1" indent="1"/>
    </xf>
    <xf numFmtId="9" fontId="0" fillId="0" borderId="5" xfId="0" applyNumberFormat="1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0" fillId="0" borderId="3" xfId="0" applyBorder="1" applyAlignment="1">
      <alignment horizontal="left" wrapText="1" indent="1"/>
    </xf>
    <xf numFmtId="0" fontId="0" fillId="0" borderId="1" xfId="0" applyBorder="1" applyAlignment="1">
      <alignment horizontal="left" wrapText="1" indent="1"/>
    </xf>
    <xf numFmtId="0" fontId="4" fillId="3" borderId="4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4" xfId="0" applyFont="1" applyFill="1" applyBorder="1"/>
    <xf numFmtId="0" fontId="4" fillId="3" borderId="12" xfId="0" applyFont="1" applyFill="1" applyBorder="1" applyAlignment="1">
      <alignment horizontal="left" indent="1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8461-0C29-A541-9C4C-0116943F1501}">
  <sheetPr>
    <pageSetUpPr fitToPage="1"/>
  </sheetPr>
  <dimension ref="A2:BI39"/>
  <sheetViews>
    <sheetView showGridLines="0" tabSelected="1" topLeftCell="A6" zoomScale="90" workbookViewId="0">
      <pane xSplit="6" topLeftCell="G1" activePane="topRight" state="frozen"/>
      <selection pane="topRight" activeCell="X59" sqref="X59"/>
    </sheetView>
  </sheetViews>
  <sheetFormatPr baseColWidth="10" defaultRowHeight="16" x14ac:dyDescent="0.2"/>
  <cols>
    <col min="1" max="1" width="28.33203125" customWidth="1"/>
    <col min="6" max="6" width="2.33203125" customWidth="1"/>
    <col min="7" max="48" width="8.83203125" customWidth="1"/>
  </cols>
  <sheetData>
    <row r="2" spans="1:61" x14ac:dyDescent="0.2">
      <c r="A2" t="s">
        <v>5</v>
      </c>
      <c r="B2" t="s">
        <v>9</v>
      </c>
    </row>
    <row r="3" spans="1:61" x14ac:dyDescent="0.2">
      <c r="A3" t="s">
        <v>6</v>
      </c>
      <c r="B3" s="1">
        <v>45922</v>
      </c>
    </row>
    <row r="4" spans="1:61" x14ac:dyDescent="0.2">
      <c r="A4" t="s">
        <v>7</v>
      </c>
      <c r="B4" s="1">
        <f ca="1">TODAY()</f>
        <v>45761</v>
      </c>
    </row>
    <row r="5" spans="1:61" x14ac:dyDescent="0.2">
      <c r="A5" t="s">
        <v>8</v>
      </c>
      <c r="B5">
        <f ca="1">ROUNDUP((B4-B3)/7,0)</f>
        <v>-23</v>
      </c>
    </row>
    <row r="7" spans="1:61" s="14" customFormat="1" x14ac:dyDescent="0.2">
      <c r="G7" s="14">
        <f>B3</f>
        <v>45922</v>
      </c>
      <c r="H7" s="14">
        <f>G7+7</f>
        <v>45929</v>
      </c>
      <c r="I7" s="14">
        <f t="shared" ref="I7:AV7" si="0">H7+7</f>
        <v>45936</v>
      </c>
      <c r="J7" s="14">
        <f t="shared" si="0"/>
        <v>45943</v>
      </c>
      <c r="K7" s="14">
        <f t="shared" si="0"/>
        <v>45950</v>
      </c>
      <c r="L7" s="14">
        <f t="shared" si="0"/>
        <v>45957</v>
      </c>
      <c r="M7" s="14">
        <f t="shared" si="0"/>
        <v>45964</v>
      </c>
      <c r="N7" s="14">
        <f t="shared" si="0"/>
        <v>45971</v>
      </c>
      <c r="O7" s="14">
        <f t="shared" si="0"/>
        <v>45978</v>
      </c>
      <c r="P7" s="14">
        <f t="shared" si="0"/>
        <v>45985</v>
      </c>
      <c r="Q7" s="14">
        <f t="shared" si="0"/>
        <v>45992</v>
      </c>
      <c r="R7" s="14">
        <f t="shared" si="0"/>
        <v>45999</v>
      </c>
      <c r="S7" s="14">
        <f t="shared" si="0"/>
        <v>46006</v>
      </c>
      <c r="T7" s="14">
        <f t="shared" si="0"/>
        <v>46013</v>
      </c>
      <c r="U7" s="14">
        <f t="shared" si="0"/>
        <v>46020</v>
      </c>
      <c r="V7" s="14">
        <f t="shared" si="0"/>
        <v>46027</v>
      </c>
      <c r="W7" s="14">
        <f t="shared" si="0"/>
        <v>46034</v>
      </c>
      <c r="X7" s="14">
        <f t="shared" si="0"/>
        <v>46041</v>
      </c>
      <c r="Y7" s="14">
        <f t="shared" si="0"/>
        <v>46048</v>
      </c>
      <c r="Z7" s="14">
        <f t="shared" si="0"/>
        <v>46055</v>
      </c>
      <c r="AA7" s="14">
        <f t="shared" si="0"/>
        <v>46062</v>
      </c>
      <c r="AB7" s="14">
        <f t="shared" si="0"/>
        <v>46069</v>
      </c>
      <c r="AC7" s="14">
        <f t="shared" si="0"/>
        <v>46076</v>
      </c>
      <c r="AD7" s="14">
        <f t="shared" si="0"/>
        <v>46083</v>
      </c>
      <c r="AE7" s="14">
        <f t="shared" si="0"/>
        <v>46090</v>
      </c>
      <c r="AF7" s="14">
        <f t="shared" si="0"/>
        <v>46097</v>
      </c>
      <c r="AG7" s="14">
        <f t="shared" si="0"/>
        <v>46104</v>
      </c>
      <c r="AH7" s="14">
        <f t="shared" si="0"/>
        <v>46111</v>
      </c>
      <c r="AI7" s="14">
        <f t="shared" si="0"/>
        <v>46118</v>
      </c>
      <c r="AJ7" s="14">
        <f t="shared" si="0"/>
        <v>46125</v>
      </c>
      <c r="AK7" s="14">
        <f t="shared" si="0"/>
        <v>46132</v>
      </c>
      <c r="AL7" s="14">
        <f t="shared" si="0"/>
        <v>46139</v>
      </c>
      <c r="AM7" s="14">
        <f t="shared" si="0"/>
        <v>46146</v>
      </c>
      <c r="AN7" s="14">
        <f t="shared" si="0"/>
        <v>46153</v>
      </c>
      <c r="AO7" s="14">
        <f t="shared" si="0"/>
        <v>46160</v>
      </c>
      <c r="AP7" s="14">
        <f t="shared" si="0"/>
        <v>46167</v>
      </c>
      <c r="AQ7" s="14">
        <f t="shared" si="0"/>
        <v>46174</v>
      </c>
      <c r="AR7" s="14">
        <f t="shared" si="0"/>
        <v>46181</v>
      </c>
      <c r="AS7" s="14">
        <f t="shared" si="0"/>
        <v>46188</v>
      </c>
      <c r="AT7" s="14">
        <f t="shared" si="0"/>
        <v>46195</v>
      </c>
      <c r="AU7" s="14">
        <f t="shared" si="0"/>
        <v>46202</v>
      </c>
      <c r="AV7" s="14">
        <f t="shared" si="0"/>
        <v>46209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</row>
    <row r="8" spans="1:61" s="3" customFormat="1" x14ac:dyDescent="0.2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G8" s="4">
        <v>1</v>
      </c>
      <c r="H8" s="4">
        <f>G8+1</f>
        <v>2</v>
      </c>
      <c r="I8" s="4">
        <f t="shared" ref="I8:AV8" si="1">H8+1</f>
        <v>3</v>
      </c>
      <c r="J8" s="4">
        <f t="shared" si="1"/>
        <v>4</v>
      </c>
      <c r="K8" s="4">
        <f t="shared" si="1"/>
        <v>5</v>
      </c>
      <c r="L8" s="4">
        <f t="shared" si="1"/>
        <v>6</v>
      </c>
      <c r="M8" s="4">
        <f t="shared" si="1"/>
        <v>7</v>
      </c>
      <c r="N8" s="4">
        <f t="shared" si="1"/>
        <v>8</v>
      </c>
      <c r="O8" s="4">
        <f t="shared" si="1"/>
        <v>9</v>
      </c>
      <c r="P8" s="4">
        <f t="shared" si="1"/>
        <v>10</v>
      </c>
      <c r="Q8" s="4">
        <f t="shared" si="1"/>
        <v>11</v>
      </c>
      <c r="R8" s="4">
        <f t="shared" si="1"/>
        <v>12</v>
      </c>
      <c r="S8" s="4">
        <f t="shared" si="1"/>
        <v>13</v>
      </c>
      <c r="T8" s="4">
        <f t="shared" si="1"/>
        <v>14</v>
      </c>
      <c r="U8" s="4">
        <f t="shared" si="1"/>
        <v>15</v>
      </c>
      <c r="V8" s="4">
        <f t="shared" si="1"/>
        <v>16</v>
      </c>
      <c r="W8" s="4">
        <f t="shared" si="1"/>
        <v>17</v>
      </c>
      <c r="X8" s="4">
        <f t="shared" si="1"/>
        <v>18</v>
      </c>
      <c r="Y8" s="4">
        <f t="shared" si="1"/>
        <v>19</v>
      </c>
      <c r="Z8" s="4">
        <f t="shared" si="1"/>
        <v>20</v>
      </c>
      <c r="AA8" s="4">
        <f t="shared" si="1"/>
        <v>21</v>
      </c>
      <c r="AB8" s="4">
        <f t="shared" si="1"/>
        <v>22</v>
      </c>
      <c r="AC8" s="4">
        <f t="shared" si="1"/>
        <v>23</v>
      </c>
      <c r="AD8" s="4">
        <f t="shared" si="1"/>
        <v>24</v>
      </c>
      <c r="AE8" s="4">
        <f t="shared" si="1"/>
        <v>25</v>
      </c>
      <c r="AF8" s="4">
        <f t="shared" si="1"/>
        <v>26</v>
      </c>
      <c r="AG8" s="4">
        <f t="shared" si="1"/>
        <v>27</v>
      </c>
      <c r="AH8" s="4">
        <f t="shared" si="1"/>
        <v>28</v>
      </c>
      <c r="AI8" s="4">
        <f t="shared" si="1"/>
        <v>29</v>
      </c>
      <c r="AJ8" s="4">
        <f t="shared" si="1"/>
        <v>30</v>
      </c>
      <c r="AK8" s="4">
        <f t="shared" si="1"/>
        <v>31</v>
      </c>
      <c r="AL8" s="4">
        <f t="shared" si="1"/>
        <v>32</v>
      </c>
      <c r="AM8" s="4">
        <f t="shared" si="1"/>
        <v>33</v>
      </c>
      <c r="AN8" s="4">
        <f t="shared" si="1"/>
        <v>34</v>
      </c>
      <c r="AO8" s="4">
        <f t="shared" si="1"/>
        <v>35</v>
      </c>
      <c r="AP8" s="4">
        <f t="shared" si="1"/>
        <v>36</v>
      </c>
      <c r="AQ8" s="4">
        <f t="shared" si="1"/>
        <v>37</v>
      </c>
      <c r="AR8" s="4">
        <f t="shared" si="1"/>
        <v>38</v>
      </c>
      <c r="AS8" s="4">
        <f t="shared" si="1"/>
        <v>39</v>
      </c>
      <c r="AT8" s="4">
        <f t="shared" si="1"/>
        <v>40</v>
      </c>
      <c r="AU8" s="4">
        <f t="shared" si="1"/>
        <v>41</v>
      </c>
      <c r="AV8" s="4">
        <f t="shared" si="1"/>
        <v>42</v>
      </c>
      <c r="AW8" s="30"/>
      <c r="AX8" s="30"/>
      <c r="AY8" s="30"/>
      <c r="AZ8" s="31"/>
      <c r="BA8" s="31"/>
      <c r="BB8" s="31"/>
      <c r="BC8" s="31"/>
      <c r="BD8" s="31"/>
      <c r="BE8" s="31"/>
      <c r="BF8" s="31"/>
      <c r="BG8" s="31"/>
      <c r="BH8" s="31"/>
      <c r="BI8" s="31"/>
    </row>
    <row r="9" spans="1:61" s="2" customFormat="1" ht="51" x14ac:dyDescent="0.2">
      <c r="A9" s="53" t="s">
        <v>24</v>
      </c>
      <c r="B9" s="9"/>
      <c r="C9" s="9"/>
      <c r="D9" s="9"/>
      <c r="E9" s="9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/>
      <c r="AX9"/>
      <c r="AY9"/>
      <c r="AZ9"/>
      <c r="BA9"/>
      <c r="BB9"/>
      <c r="BC9"/>
      <c r="BD9"/>
      <c r="BE9"/>
      <c r="BF9"/>
      <c r="BG9"/>
      <c r="BH9"/>
      <c r="BI9"/>
    </row>
    <row r="10" spans="1:61" x14ac:dyDescent="0.2">
      <c r="A10" s="10" t="s">
        <v>25</v>
      </c>
      <c r="B10" s="11">
        <v>45922</v>
      </c>
      <c r="C10" s="11">
        <v>45935</v>
      </c>
      <c r="D10" s="12">
        <f>IF(C10="","",C10-B10)</f>
        <v>13</v>
      </c>
      <c r="E10" s="25">
        <v>0</v>
      </c>
      <c r="G10" s="8"/>
      <c r="H10" s="8"/>
      <c r="I10" s="8"/>
      <c r="J10" s="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61" ht="33" customHeight="1" x14ac:dyDescent="0.2">
      <c r="A11" s="34" t="s">
        <v>26</v>
      </c>
      <c r="B11" s="11">
        <v>45922</v>
      </c>
      <c r="C11" s="11">
        <v>45935</v>
      </c>
      <c r="D11" s="12">
        <f t="shared" ref="D11:D31" si="2">IF(C11="","",C11-B11)</f>
        <v>13</v>
      </c>
      <c r="E11" s="25">
        <v>0</v>
      </c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61" x14ac:dyDescent="0.2">
      <c r="A12" s="10" t="s">
        <v>27</v>
      </c>
      <c r="B12" s="11">
        <v>45922</v>
      </c>
      <c r="C12" s="11">
        <v>45935</v>
      </c>
      <c r="D12" s="12">
        <f t="shared" si="2"/>
        <v>13</v>
      </c>
      <c r="E12" s="25">
        <v>0</v>
      </c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61" s="38" customFormat="1" ht="34" x14ac:dyDescent="0.2">
      <c r="A13" s="34" t="s">
        <v>28</v>
      </c>
      <c r="B13" s="35">
        <v>45922</v>
      </c>
      <c r="C13" s="35">
        <v>45950</v>
      </c>
      <c r="D13" s="36">
        <f t="shared" si="2"/>
        <v>28</v>
      </c>
      <c r="E13" s="37">
        <v>0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</row>
    <row r="14" spans="1:61" s="43" customFormat="1" ht="49" customHeight="1" x14ac:dyDescent="0.2">
      <c r="A14" s="53" t="s">
        <v>30</v>
      </c>
      <c r="B14" s="41"/>
      <c r="C14" s="41"/>
      <c r="D14" s="42" t="str">
        <f t="shared" si="2"/>
        <v/>
      </c>
      <c r="E14" s="42"/>
      <c r="G14" s="44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</row>
    <row r="15" spans="1:61" x14ac:dyDescent="0.2">
      <c r="A15" s="10" t="s">
        <v>31</v>
      </c>
      <c r="B15" s="11">
        <v>45936</v>
      </c>
      <c r="C15" s="11">
        <v>45949</v>
      </c>
      <c r="D15" s="12">
        <f t="shared" si="2"/>
        <v>13</v>
      </c>
      <c r="E15" s="25">
        <v>0</v>
      </c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61" x14ac:dyDescent="0.2">
      <c r="A16" s="10" t="s">
        <v>32</v>
      </c>
      <c r="B16" s="11">
        <v>45943</v>
      </c>
      <c r="C16" s="11">
        <v>45956</v>
      </c>
      <c r="D16" s="12">
        <f t="shared" si="2"/>
        <v>13</v>
      </c>
      <c r="E16" s="25">
        <v>0</v>
      </c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61" ht="34" x14ac:dyDescent="0.2">
      <c r="A17" s="34" t="s">
        <v>33</v>
      </c>
      <c r="B17" s="11">
        <v>45957</v>
      </c>
      <c r="C17" s="11">
        <v>46011</v>
      </c>
      <c r="D17" s="12">
        <f t="shared" si="2"/>
        <v>54</v>
      </c>
      <c r="E17" s="25">
        <v>0</v>
      </c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61" ht="34" x14ac:dyDescent="0.2">
      <c r="A18" s="34" t="s">
        <v>34</v>
      </c>
      <c r="B18" s="11">
        <v>45957</v>
      </c>
      <c r="C18" s="11">
        <v>46011</v>
      </c>
      <c r="D18" s="12">
        <f t="shared" si="2"/>
        <v>54</v>
      </c>
      <c r="E18" s="25">
        <v>0</v>
      </c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61" s="2" customFormat="1" ht="51" x14ac:dyDescent="0.2">
      <c r="A19" s="52" t="s">
        <v>35</v>
      </c>
      <c r="B19" s="13"/>
      <c r="C19" s="13"/>
      <c r="D19" s="9" t="str">
        <f t="shared" si="2"/>
        <v/>
      </c>
      <c r="E19" s="9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s="49" customFormat="1" ht="51" x14ac:dyDescent="0.2">
      <c r="A20" s="46" t="s">
        <v>36</v>
      </c>
      <c r="B20" s="11">
        <v>45922</v>
      </c>
      <c r="C20" s="11">
        <v>45935</v>
      </c>
      <c r="D20" s="47">
        <f t="shared" si="2"/>
        <v>13</v>
      </c>
      <c r="E20" s="48">
        <v>0</v>
      </c>
      <c r="G20" s="50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</row>
    <row r="21" spans="1:61" ht="51" x14ac:dyDescent="0.2">
      <c r="A21" s="46" t="s">
        <v>37</v>
      </c>
      <c r="B21" s="11">
        <v>45957</v>
      </c>
      <c r="C21" s="11">
        <v>46011</v>
      </c>
      <c r="D21" s="12">
        <f t="shared" si="2"/>
        <v>54</v>
      </c>
      <c r="E21" s="25">
        <v>0</v>
      </c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61" ht="51" customHeight="1" x14ac:dyDescent="0.2">
      <c r="A22" s="46" t="s">
        <v>38</v>
      </c>
      <c r="B22" s="11">
        <v>45957</v>
      </c>
      <c r="C22" s="11">
        <v>46011</v>
      </c>
      <c r="D22" s="12">
        <f t="shared" si="2"/>
        <v>54</v>
      </c>
      <c r="E22" s="25">
        <v>0</v>
      </c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61" s="2" customFormat="1" x14ac:dyDescent="0.2">
      <c r="A23" s="54" t="s">
        <v>10</v>
      </c>
      <c r="B23" s="13"/>
      <c r="C23" s="13"/>
      <c r="D23" s="9"/>
      <c r="E23" s="9"/>
      <c r="G23" s="21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">
      <c r="A24" s="16" t="s">
        <v>11</v>
      </c>
      <c r="B24" s="26">
        <v>46112</v>
      </c>
      <c r="C24" s="26">
        <v>46132</v>
      </c>
      <c r="D24" s="17">
        <f t="shared" si="2"/>
        <v>20</v>
      </c>
      <c r="E24" s="25">
        <v>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</row>
    <row r="25" spans="1:61" x14ac:dyDescent="0.2">
      <c r="A25" s="18" t="s">
        <v>12</v>
      </c>
      <c r="B25" s="11">
        <v>45922</v>
      </c>
      <c r="C25" s="26">
        <v>45991</v>
      </c>
      <c r="D25" s="17">
        <f t="shared" si="2"/>
        <v>69</v>
      </c>
      <c r="E25" s="25">
        <v>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</row>
    <row r="26" spans="1:61" x14ac:dyDescent="0.2">
      <c r="A26" s="18" t="s">
        <v>13</v>
      </c>
      <c r="B26" s="11">
        <v>45922</v>
      </c>
      <c r="C26" s="26">
        <v>45991</v>
      </c>
      <c r="D26" s="17">
        <f t="shared" si="2"/>
        <v>69</v>
      </c>
      <c r="E26" s="25">
        <v>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</row>
    <row r="27" spans="1:61" x14ac:dyDescent="0.2">
      <c r="A27" s="18" t="s">
        <v>14</v>
      </c>
      <c r="B27" s="26">
        <v>45991</v>
      </c>
      <c r="C27" s="26">
        <v>46053</v>
      </c>
      <c r="D27" s="17">
        <f t="shared" si="2"/>
        <v>62</v>
      </c>
      <c r="E27" s="25">
        <v>0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</row>
    <row r="28" spans="1:61" x14ac:dyDescent="0.2">
      <c r="A28" s="18" t="s">
        <v>15</v>
      </c>
      <c r="B28" s="26">
        <v>46062</v>
      </c>
      <c r="C28" s="26">
        <v>46103</v>
      </c>
      <c r="D28" s="17">
        <f t="shared" si="2"/>
        <v>41</v>
      </c>
      <c r="E28" s="25">
        <v>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</row>
    <row r="29" spans="1:61" x14ac:dyDescent="0.2">
      <c r="A29" s="18" t="s">
        <v>16</v>
      </c>
      <c r="B29" s="26">
        <v>46112</v>
      </c>
      <c r="C29" s="26">
        <v>46132</v>
      </c>
      <c r="D29" s="17">
        <f t="shared" si="2"/>
        <v>20</v>
      </c>
      <c r="E29" s="25">
        <v>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</row>
    <row r="30" spans="1:61" x14ac:dyDescent="0.2">
      <c r="A30" s="18" t="s">
        <v>17</v>
      </c>
      <c r="B30" s="26">
        <v>46125</v>
      </c>
      <c r="C30" s="26">
        <v>46138</v>
      </c>
      <c r="D30" s="17">
        <f t="shared" si="2"/>
        <v>13</v>
      </c>
      <c r="E30" s="25">
        <v>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</row>
    <row r="31" spans="1:61" x14ac:dyDescent="0.2">
      <c r="A31" s="15" t="s">
        <v>29</v>
      </c>
      <c r="B31" s="26">
        <v>46174</v>
      </c>
      <c r="C31" s="26">
        <v>46201</v>
      </c>
      <c r="D31" s="17">
        <f t="shared" si="2"/>
        <v>27</v>
      </c>
      <c r="E31" s="25">
        <v>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</row>
    <row r="32" spans="1:61" s="2" customFormat="1" x14ac:dyDescent="0.2">
      <c r="A32" s="55" t="s">
        <v>18</v>
      </c>
      <c r="B32" s="27"/>
      <c r="C32" s="27"/>
      <c r="D32" s="19"/>
      <c r="E32" s="19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48" x14ac:dyDescent="0.2">
      <c r="A33" s="20" t="s">
        <v>21</v>
      </c>
      <c r="B33" s="28" t="s">
        <v>23</v>
      </c>
      <c r="C33" s="28" t="s">
        <v>23</v>
      </c>
      <c r="D33" s="20"/>
      <c r="E33" s="20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</row>
    <row r="34" spans="1:48" x14ac:dyDescent="0.2">
      <c r="A34" s="20" t="s">
        <v>22</v>
      </c>
      <c r="B34" s="28" t="s">
        <v>23</v>
      </c>
      <c r="C34" s="28" t="s">
        <v>23</v>
      </c>
      <c r="D34" s="20"/>
      <c r="E34" s="20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</row>
    <row r="35" spans="1:48" x14ac:dyDescent="0.2">
      <c r="A35" s="20" t="s">
        <v>20</v>
      </c>
      <c r="B35" s="28">
        <v>46146</v>
      </c>
      <c r="C35" s="28">
        <v>46146</v>
      </c>
      <c r="D35" s="20"/>
      <c r="E35" s="2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</row>
    <row r="36" spans="1:48" x14ac:dyDescent="0.2">
      <c r="A36" s="20" t="s">
        <v>19</v>
      </c>
      <c r="B36" s="28">
        <v>46174</v>
      </c>
      <c r="C36" s="28">
        <v>46174</v>
      </c>
      <c r="D36" s="20"/>
      <c r="E36" s="20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</row>
    <row r="37" spans="1:48" x14ac:dyDescent="0.2">
      <c r="A37" s="32"/>
      <c r="B37" s="32"/>
      <c r="C37" s="32"/>
      <c r="D37" s="20"/>
      <c r="E37" s="20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</row>
    <row r="38" spans="1:48" x14ac:dyDescent="0.2">
      <c r="A38" s="33"/>
      <c r="B38" s="33"/>
      <c r="C38" s="33"/>
      <c r="D38" s="20"/>
      <c r="E38" s="20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</row>
    <row r="39" spans="1:48" x14ac:dyDescent="0.2">
      <c r="A39" s="20"/>
      <c r="B39" s="28"/>
      <c r="C39" s="28"/>
      <c r="D39" s="20"/>
      <c r="E39" s="20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</row>
  </sheetData>
  <phoneticPr fontId="2" type="noConversion"/>
  <conditionalFormatting sqref="E10:E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{FF855D4F-523D-3246-A77D-D297C79B45F6}</x14:id>
        </ext>
      </extLst>
    </cfRule>
  </conditionalFormatting>
  <conditionalFormatting sqref="G9:AV34 G39:AV39">
    <cfRule type="expression" dxfId="5" priority="5" stopIfTrue="1">
      <formula>AND(G$7&gt;=$B9,G$7&lt;=$C9, $B9&lt;&gt;"")</formula>
    </cfRule>
  </conditionalFormatting>
  <conditionalFormatting sqref="G9:AV39">
    <cfRule type="expression" dxfId="4" priority="1">
      <formula>AND(G$7&gt;=$B9,G$7&lt;=($B9+($D9*$E9)-1), $B9&lt;&gt;"")</formula>
    </cfRule>
  </conditionalFormatting>
  <conditionalFormatting sqref="G25:AV25">
    <cfRule type="expression" dxfId="3" priority="7">
      <formula>AND(G$7&gt;=$B26,G$7&lt;=$C25, $B26&lt;&gt;"")</formula>
    </cfRule>
  </conditionalFormatting>
  <conditionalFormatting sqref="G26:AV26">
    <cfRule type="expression" dxfId="2" priority="8">
      <formula>AND(G$7&gt;=#REF!,G$7&lt;=$C26, #REF!&lt;&gt;"")</formula>
    </cfRule>
  </conditionalFormatting>
  <conditionalFormatting sqref="G35:AV36">
    <cfRule type="expression" dxfId="1" priority="11">
      <formula>AND(G$7&gt;=#REF!,G$7&lt;=#REF!, #REF!&lt;&gt;"")</formula>
    </cfRule>
  </conditionalFormatting>
  <conditionalFormatting sqref="G37:AV38">
    <cfRule type="expression" dxfId="0" priority="10">
      <formula>AND(G$7&gt;=$B35,G$7&lt;=$C35, $B35&lt;&gt;"")</formula>
    </cfRule>
  </conditionalFormatting>
  <conditionalFormatting sqref="E10:E3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{7392C706-9A3C-6E47-90E3-8FCCD2A73F15}</x14:id>
        </ext>
      </extLst>
    </cfRule>
  </conditionalFormatting>
  <pageMargins left="0.7" right="0.7" top="0.75" bottom="0.75" header="0.3" footer="0.3"/>
  <pageSetup paperSize="9" scale="27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855D4F-523D-3246-A77D-D297C79B45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E10:E39</xm:sqref>
        </x14:conditionalFormatting>
        <x14:conditionalFormatting xmlns:xm="http://schemas.microsoft.com/office/excel/2006/main">
          <x14:cfRule type="dataBar" id="{7392C706-9A3C-6E47-90E3-8FCCD2A73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E10:E31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Vandamme</dc:creator>
  <cp:lastModifiedBy>Théo Naïm Vandamme</cp:lastModifiedBy>
  <cp:lastPrinted>2025-04-14T16:54:12Z</cp:lastPrinted>
  <dcterms:created xsi:type="dcterms:W3CDTF">2025-04-06T14:00:56Z</dcterms:created>
  <dcterms:modified xsi:type="dcterms:W3CDTF">2025-04-14T16:55:48Z</dcterms:modified>
</cp:coreProperties>
</file>